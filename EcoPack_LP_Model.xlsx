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13f761372dba9/Desktop/Portfolio/BAM/"/>
    </mc:Choice>
  </mc:AlternateContent>
  <xr:revisionPtr revIDLastSave="0" documentId="8_{F27822CE-400F-4C26-81B4-F3C0245E2B40}" xr6:coauthVersionLast="47" xr6:coauthVersionMax="47" xr10:uidLastSave="{00000000-0000-0000-0000-000000000000}"/>
  <bookViews>
    <workbookView xWindow="-108" yWindow="-108" windowWidth="23256" windowHeight="12456" activeTab="1" xr2:uid="{339990A2-122B-4191-9FFE-1F2FC1FEFF1D}"/>
  </bookViews>
  <sheets>
    <sheet name="Linear Programming" sheetId="1" r:id="rId1"/>
    <sheet name="Decision Analysis" sheetId="3" r:id="rId2"/>
  </sheets>
  <definedNames>
    <definedName name="solver_adj" localSheetId="0" hidden="1">'Linear Programming'!$C$20:$C$22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'Linear Programming'!$B$15</definedName>
    <definedName name="solver_lhs2" localSheetId="0" hidden="1">'Linear Programming'!$B$16</definedName>
    <definedName name="solver_lhs3" localSheetId="0" hidden="1">'Linear Programming'!$B$18</definedName>
    <definedName name="solver_lhs4" localSheetId="0" hidden="1">'Linear Programming'!$B$14</definedName>
    <definedName name="solver_lhs5" localSheetId="0" hidden="1">'Linear Programming'!$B$12</definedName>
    <definedName name="solver_lhs6" localSheetId="0" hidden="1">'Linear Programming'!$B$13</definedName>
    <definedName name="solver_lhs7" localSheetId="0" hidden="1">'Linear Programming'!$C$20:$C$22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'Linear Programming'!$C$24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80</definedName>
    <definedName name="solver_rhs2" localSheetId="0" hidden="1">7</definedName>
    <definedName name="solver_rhs3" localSheetId="0" hidden="1">1</definedName>
    <definedName name="solver_rhs4" localSheetId="0" hidden="1">180</definedName>
    <definedName name="solver_rhs5" localSheetId="0" hidden="1">70</definedName>
    <definedName name="solver_rhs6" localSheetId="0" hidden="1">11000</definedName>
    <definedName name="solver_rhs7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3" l="1"/>
  <c r="M16" i="3" s="1"/>
  <c r="G17" i="3"/>
  <c r="M17" i="3" s="1"/>
  <c r="G15" i="3"/>
  <c r="M15" i="3" s="1"/>
  <c r="B12" i="1"/>
  <c r="B15" i="3"/>
  <c r="H15" i="3" s="1"/>
  <c r="C15" i="3"/>
  <c r="I15" i="3" s="1"/>
  <c r="D15" i="3"/>
  <c r="J15" i="3" s="1"/>
  <c r="N15" i="3" s="1"/>
  <c r="E15" i="3"/>
  <c r="K15" i="3" s="1"/>
  <c r="F15" i="3"/>
  <c r="L15" i="3" s="1"/>
  <c r="B16" i="3"/>
  <c r="H16" i="3" s="1"/>
  <c r="C16" i="3"/>
  <c r="I16" i="3" s="1"/>
  <c r="D16" i="3"/>
  <c r="J16" i="3" s="1"/>
  <c r="E16" i="3"/>
  <c r="K16" i="3" s="1"/>
  <c r="F16" i="3"/>
  <c r="L16" i="3" s="1"/>
  <c r="B17" i="3"/>
  <c r="H17" i="3" s="1"/>
  <c r="C17" i="3"/>
  <c r="I17" i="3" s="1"/>
  <c r="D17" i="3"/>
  <c r="J17" i="3" s="1"/>
  <c r="E17" i="3"/>
  <c r="K17" i="3" s="1"/>
  <c r="F17" i="3"/>
  <c r="L17" i="3" s="1"/>
  <c r="N17" i="3" l="1"/>
  <c r="N16" i="3"/>
  <c r="B18" i="1"/>
  <c r="B16" i="1"/>
  <c r="B15" i="1"/>
  <c r="B14" i="1"/>
  <c r="B13" i="1"/>
  <c r="M6" i="1"/>
  <c r="M7" i="1"/>
  <c r="M8" i="1"/>
  <c r="C24" i="1" l="1"/>
</calcChain>
</file>

<file path=xl/sharedStrings.xml><?xml version="1.0" encoding="utf-8"?>
<sst xmlns="http://schemas.openxmlformats.org/spreadsheetml/2006/main" count="79" uniqueCount="57">
  <si>
    <t>Model</t>
  </si>
  <si>
    <t>Delivery_Time_Days</t>
  </si>
  <si>
    <t>Delivery_Delay_%</t>
  </si>
  <si>
    <t>Customer_Satisfaction_%</t>
  </si>
  <si>
    <t>Sustainability_Score_%</t>
  </si>
  <si>
    <t>Centralised</t>
  </si>
  <si>
    <t>Decentralised</t>
  </si>
  <si>
    <t>Hybrid</t>
  </si>
  <si>
    <t>Fuel_Cost_£ per month</t>
  </si>
  <si>
    <t>Emissions_tCO2 per month (tonnes)</t>
  </si>
  <si>
    <t>Operational_Cost_£ per month</t>
  </si>
  <si>
    <t>Processing_Time_Hours per order</t>
  </si>
  <si>
    <t>Monthly_Delivery_Volume (units)</t>
  </si>
  <si>
    <t>Warehouse_Capacity (units)</t>
  </si>
  <si>
    <t>Avg_Order_Size (units)</t>
  </si>
  <si>
    <t>X1</t>
  </si>
  <si>
    <t>X2</t>
  </si>
  <si>
    <t>X3</t>
  </si>
  <si>
    <t>Total Cost</t>
  </si>
  <si>
    <t>For Excel Solver</t>
  </si>
  <si>
    <t>Constraints</t>
  </si>
  <si>
    <t>Total Delivery</t>
  </si>
  <si>
    <t>≥ 11000</t>
  </si>
  <si>
    <t>Emissions</t>
  </si>
  <si>
    <t>≤ 180</t>
  </si>
  <si>
    <t>Satisfaction</t>
  </si>
  <si>
    <t>≥ 80</t>
  </si>
  <si>
    <t>Delay</t>
  </si>
  <si>
    <t>≤ 7</t>
  </si>
  <si>
    <t>X1, X2, X3</t>
  </si>
  <si>
    <t>≥ 0</t>
  </si>
  <si>
    <t>Sum (X1+X2+X3)</t>
  </si>
  <si>
    <t xml:space="preserve"> =1</t>
  </si>
  <si>
    <t>Objective: Minimize</t>
  </si>
  <si>
    <t>Total_Score</t>
  </si>
  <si>
    <t>Delay_Weighted</t>
  </si>
  <si>
    <t>Satisfaction_Weighted</t>
  </si>
  <si>
    <t>Emissions_Weighted</t>
  </si>
  <si>
    <t>Time_Weighted</t>
  </si>
  <si>
    <t>Cost_Weighted</t>
  </si>
  <si>
    <t>Delay_Norm</t>
  </si>
  <si>
    <t>Satisfaction_Norm</t>
  </si>
  <si>
    <t>Emissions_Norm</t>
  </si>
  <si>
    <t>Time_Norm</t>
  </si>
  <si>
    <t>Cost_Norm</t>
  </si>
  <si>
    <t>Normalised Scores</t>
  </si>
  <si>
    <t>Time</t>
  </si>
  <si>
    <t>Cost</t>
  </si>
  <si>
    <t>Weight</t>
  </si>
  <si>
    <t>Criteria</t>
  </si>
  <si>
    <t>Weighted Scores</t>
  </si>
  <si>
    <t>Sustainability Score</t>
  </si>
  <si>
    <t>≥ 70</t>
  </si>
  <si>
    <t>Sustainability_Score_%_Norm</t>
  </si>
  <si>
    <t>Sustainability_Score_%_Weighted</t>
  </si>
  <si>
    <t>Linear Programming</t>
  </si>
  <si>
    <t>Decision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</si>
</sst>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1" applyNumberFormat="1" applyFont="1"/>
    <xf numFmtId="0" fontId="0" fillId="0" borderId="1" xfId="0" applyBorder="1"/>
    <xf numFmtId="0" fontId="2" fillId="0" borderId="0" xfId="0" applyFont="1"/>
    <xf numFmtId="0" fontId="2" fillId="2" borderId="0" xfId="0" applyFont="1" applyFill="1"/>
    <xf numFmtId="0" fontId="0" fillId="3" borderId="1" xfId="0" applyFill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1" xfId="0" applyNumberFormat="1" applyBorder="1"/>
    <xf numFmtId="2" fontId="0" fillId="0" borderId="9" xfId="0" applyNumberFormat="1" applyBorder="1"/>
    <xf numFmtId="2" fontId="0" fillId="3" borderId="9" xfId="0" applyNumberFormat="1" applyFill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0" fontId="2" fillId="0" borderId="14" xfId="0" applyFont="1" applyBorder="1"/>
    <xf numFmtId="0" fontId="2" fillId="0" borderId="15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7" xfId="1" applyNumberFormat="1" applyFont="1" applyBorder="1"/>
    <xf numFmtId="0" fontId="0" fillId="0" borderId="9" xfId="1" applyNumberFormat="1" applyFont="1" applyBorder="1"/>
    <xf numFmtId="0" fontId="0" fillId="0" borderId="12" xfId="1" applyNumberFormat="1" applyFont="1" applyBorder="1"/>
    <xf numFmtId="2" fontId="0" fillId="0" borderId="23" xfId="0" applyNumberFormat="1" applyBorder="1"/>
    <xf numFmtId="2" fontId="0" fillId="0" borderId="24" xfId="0" applyNumberFormat="1" applyBorder="1"/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64" fontId="2" fillId="2" borderId="0" xfId="0" applyNumberFormat="1" applyFont="1" applyFill="1"/>
    <xf numFmtId="164" fontId="0" fillId="0" borderId="0" xfId="0" applyNumberFormat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5">
    <dxf>
      <numFmt numFmtId="164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ysClr val="windowText" lastClr="000000"/>
                </a:solidFill>
              </a:rPr>
              <a:t>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'Linear Programming'!$M$5</c:f>
              <c:strCache>
                <c:ptCount val="1"/>
                <c:pt idx="0">
                  <c:v>Total Cost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lt1"/>
              </a:solidFill>
              <a:ln w="19050" cap="flat" cmpd="sng" algn="ctr">
                <a:solidFill>
                  <a:schemeClr val="accent6"/>
                </a:solidFill>
                <a:prstDash val="solid"/>
                <a:miter lim="800000"/>
              </a:ln>
              <a:effectLst>
                <a:glow rad="63500">
                  <a:schemeClr val="accent6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6188-4A76-AF7B-5AF7EBC340DA}"/>
              </c:ext>
            </c:extLst>
          </c:dPt>
          <c:cat>
            <c:strRef>
              <c:f>'Linear Programming'!$A$6:$A$8</c:f>
              <c:strCache>
                <c:ptCount val="3"/>
                <c:pt idx="0">
                  <c:v>Centralised</c:v>
                </c:pt>
                <c:pt idx="1">
                  <c:v>Decentralised</c:v>
                </c:pt>
                <c:pt idx="2">
                  <c:v>Hybrid</c:v>
                </c:pt>
              </c:strCache>
            </c:strRef>
          </c:cat>
          <c:val>
            <c:numRef>
              <c:f>'Linear Programming'!$M$6:$M$8</c:f>
              <c:numCache>
                <c:formatCode>_-[$£-809]* #,##0.00_-;\-[$£-809]* #,##0.00_-;_-[$£-809]* "-"??_-;_-@_-</c:formatCode>
                <c:ptCount val="3"/>
                <c:pt idx="0">
                  <c:v>150000</c:v>
                </c:pt>
                <c:pt idx="1">
                  <c:v>190000</c:v>
                </c:pt>
                <c:pt idx="2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8-4A76-AF7B-5AF7EBC34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6017039"/>
        <c:axId val="26018479"/>
      </c:barChart>
      <c:catAx>
        <c:axId val="2601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8479"/>
        <c:crosses val="autoZero"/>
        <c:auto val="1"/>
        <c:lblAlgn val="ctr"/>
        <c:lblOffset val="100"/>
        <c:noMultiLvlLbl val="0"/>
      </c:catAx>
      <c:valAx>
        <c:axId val="26018479"/>
        <c:scaling>
          <c:orientation val="minMax"/>
        </c:scaling>
        <c:delete val="1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crossAx val="2601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'Linear Programming'!$A$6</c:f>
              <c:strCache>
                <c:ptCount val="1"/>
                <c:pt idx="0">
                  <c:v>Centralised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'Linear Programming'!$B$5:$H$5</c15:sqref>
                  </c15:fullRef>
                </c:ext>
              </c:extLst>
              <c:f>('Linear Programming'!$D$5:$E$5,'Linear Programming'!$G$5:$H$5)</c:f>
              <c:strCache>
                <c:ptCount val="4"/>
                <c:pt idx="0">
                  <c:v>Emissions_tCO2 per month (tonnes)</c:v>
                </c:pt>
                <c:pt idx="1">
                  <c:v>Delivery_Delay_%</c:v>
                </c:pt>
                <c:pt idx="2">
                  <c:v>Customer_Satisfaction_%</c:v>
                </c:pt>
                <c:pt idx="3">
                  <c:v>Sustainability_Score_%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'Linear Programming'!$B$6:$H$6</c15:sqref>
                  </c15:fullRef>
                </c:ext>
              </c:extLst>
              <c:f>('Linear Programming'!$D$6:$E$6,'Linear Programming'!$G$6:$H$6)</c:f>
              <c:numCache>
                <c:formatCode>General</c:formatCode>
                <c:ptCount val="4"/>
                <c:pt idx="0">
                  <c:v>200</c:v>
                </c:pt>
                <c:pt idx="1">
                  <c:v>10</c:v>
                </c:pt>
                <c:pt idx="2">
                  <c:v>75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C-4236-8C6D-91B4B43F36AD}"/>
            </c:ext>
          </c:extLst>
        </c:ser>
        <c:ser>
          <c:idx val="1"/>
          <c:order val="1"/>
          <c:tx>
            <c:strRef>
              <c:f>'Linear Programming'!$A$7</c:f>
              <c:strCache>
                <c:ptCount val="1"/>
                <c:pt idx="0">
                  <c:v>Decentralised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'Linear Programming'!$B$5:$H$5</c15:sqref>
                  </c15:fullRef>
                </c:ext>
              </c:extLst>
              <c:f>('Linear Programming'!$D$5:$E$5,'Linear Programming'!$G$5:$H$5)</c:f>
              <c:strCache>
                <c:ptCount val="4"/>
                <c:pt idx="0">
                  <c:v>Emissions_tCO2 per month (tonnes)</c:v>
                </c:pt>
                <c:pt idx="1">
                  <c:v>Delivery_Delay_%</c:v>
                </c:pt>
                <c:pt idx="2">
                  <c:v>Customer_Satisfaction_%</c:v>
                </c:pt>
                <c:pt idx="3">
                  <c:v>Sustainability_Score_%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'Linear Programming'!$B$7:$H$7</c15:sqref>
                  </c15:fullRef>
                </c:ext>
              </c:extLst>
              <c:f>('Linear Programming'!$D$7:$E$7,'Linear Programming'!$G$7:$H$7)</c:f>
              <c:numCache>
                <c:formatCode>General</c:formatCode>
                <c:ptCount val="4"/>
                <c:pt idx="0">
                  <c:v>150</c:v>
                </c:pt>
                <c:pt idx="1">
                  <c:v>5</c:v>
                </c:pt>
                <c:pt idx="2">
                  <c:v>85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C-4236-8C6D-91B4B43F36AD}"/>
            </c:ext>
          </c:extLst>
        </c:ser>
        <c:ser>
          <c:idx val="2"/>
          <c:order val="2"/>
          <c:tx>
            <c:strRef>
              <c:f>'Linear Programming'!$A$8</c:f>
              <c:strCache>
                <c:ptCount val="1"/>
                <c:pt idx="0">
                  <c:v>Hybrid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'Linear Programming'!$B$5:$H$5</c15:sqref>
                  </c15:fullRef>
                </c:ext>
              </c:extLst>
              <c:f>('Linear Programming'!$D$5:$E$5,'Linear Programming'!$G$5:$H$5)</c:f>
              <c:strCache>
                <c:ptCount val="4"/>
                <c:pt idx="0">
                  <c:v>Emissions_tCO2 per month (tonnes)</c:v>
                </c:pt>
                <c:pt idx="1">
                  <c:v>Delivery_Delay_%</c:v>
                </c:pt>
                <c:pt idx="2">
                  <c:v>Customer_Satisfaction_%</c:v>
                </c:pt>
                <c:pt idx="3">
                  <c:v>Sustainability_Score_%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'Linear Programming'!$B$8:$H$8</c15:sqref>
                  </c15:fullRef>
                </c:ext>
              </c:extLst>
              <c:f>('Linear Programming'!$D$8:$E$8,'Linear Programming'!$G$8:$H$8)</c:f>
              <c:numCache>
                <c:formatCode>General</c:formatCode>
                <c:ptCount val="4"/>
                <c:pt idx="0">
                  <c:v>180</c:v>
                </c:pt>
                <c:pt idx="1">
                  <c:v>7</c:v>
                </c:pt>
                <c:pt idx="2">
                  <c:v>80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C-4236-8C6D-91B4B43F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85616351"/>
        <c:axId val="485614431"/>
      </c:barChart>
      <c:catAx>
        <c:axId val="48561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5614431"/>
        <c:crosses val="autoZero"/>
        <c:auto val="1"/>
        <c:lblAlgn val="ctr"/>
        <c:lblOffset val="100"/>
        <c:noMultiLvlLbl val="0"/>
      </c:catAx>
      <c:valAx>
        <c:axId val="485614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561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'Decision Analysis'!$A$15</c:f>
              <c:strCache>
                <c:ptCount val="1"/>
                <c:pt idx="0">
                  <c:v>Centralised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'Decision Analysis'!$B$14:$G$14</c:f>
              <c:strCache>
                <c:ptCount val="6"/>
                <c:pt idx="0">
                  <c:v>Cost_Norm</c:v>
                </c:pt>
                <c:pt idx="1">
                  <c:v>Time_Norm</c:v>
                </c:pt>
                <c:pt idx="2">
                  <c:v>Emissions_Norm</c:v>
                </c:pt>
                <c:pt idx="3">
                  <c:v>Satisfaction_Norm</c:v>
                </c:pt>
                <c:pt idx="4">
                  <c:v>Delay_Norm</c:v>
                </c:pt>
                <c:pt idx="5">
                  <c:v>Sustainability_Score_%_Norm</c:v>
                </c:pt>
              </c:strCache>
            </c:strRef>
          </c:cat>
          <c:val>
            <c:numRef>
              <c:f>'Decision Analysis'!$B$15:$G$15</c:f>
              <c:numCache>
                <c:formatCode>0.00</c:formatCode>
                <c:ptCount val="6"/>
                <c:pt idx="0">
                  <c:v>1</c:v>
                </c:pt>
                <c:pt idx="1">
                  <c:v>0.5</c:v>
                </c:pt>
                <c:pt idx="2">
                  <c:v>0.75</c:v>
                </c:pt>
                <c:pt idx="3">
                  <c:v>0.88235294117647056</c:v>
                </c:pt>
                <c:pt idx="4">
                  <c:v>0.5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5-40D3-9DB5-55238CD697B0}"/>
            </c:ext>
          </c:extLst>
        </c:ser>
        <c:ser>
          <c:idx val="1"/>
          <c:order val="1"/>
          <c:tx>
            <c:strRef>
              <c:f>'Decision Analysis'!$A$16</c:f>
              <c:strCache>
                <c:ptCount val="1"/>
                <c:pt idx="0">
                  <c:v>Decentralised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'Decision Analysis'!$B$14:$G$14</c:f>
              <c:strCache>
                <c:ptCount val="6"/>
                <c:pt idx="0">
                  <c:v>Cost_Norm</c:v>
                </c:pt>
                <c:pt idx="1">
                  <c:v>Time_Norm</c:v>
                </c:pt>
                <c:pt idx="2">
                  <c:v>Emissions_Norm</c:v>
                </c:pt>
                <c:pt idx="3">
                  <c:v>Satisfaction_Norm</c:v>
                </c:pt>
                <c:pt idx="4">
                  <c:v>Delay_Norm</c:v>
                </c:pt>
                <c:pt idx="5">
                  <c:v>Sustainability_Score_%_Norm</c:v>
                </c:pt>
              </c:strCache>
            </c:strRef>
          </c:cat>
          <c:val>
            <c:numRef>
              <c:f>'Decision Analysis'!$B$16:$G$16</c:f>
              <c:numCache>
                <c:formatCode>0.00</c:formatCode>
                <c:ptCount val="6"/>
                <c:pt idx="0">
                  <c:v>0.78947368421052633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E5-40D3-9DB5-55238CD697B0}"/>
            </c:ext>
          </c:extLst>
        </c:ser>
        <c:ser>
          <c:idx val="2"/>
          <c:order val="2"/>
          <c:tx>
            <c:strRef>
              <c:f>'Decision Analysis'!$A$17</c:f>
              <c:strCache>
                <c:ptCount val="1"/>
                <c:pt idx="0">
                  <c:v>Hybrid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'Decision Analysis'!$B$14:$G$14</c:f>
              <c:strCache>
                <c:ptCount val="6"/>
                <c:pt idx="0">
                  <c:v>Cost_Norm</c:v>
                </c:pt>
                <c:pt idx="1">
                  <c:v>Time_Norm</c:v>
                </c:pt>
                <c:pt idx="2">
                  <c:v>Emissions_Norm</c:v>
                </c:pt>
                <c:pt idx="3">
                  <c:v>Satisfaction_Norm</c:v>
                </c:pt>
                <c:pt idx="4">
                  <c:v>Delay_Norm</c:v>
                </c:pt>
                <c:pt idx="5">
                  <c:v>Sustainability_Score_%_Norm</c:v>
                </c:pt>
              </c:strCache>
            </c:strRef>
          </c:cat>
          <c:val>
            <c:numRef>
              <c:f>'Decision Analysis'!$B$17:$G$17</c:f>
              <c:numCache>
                <c:formatCode>0.00</c:formatCode>
                <c:ptCount val="6"/>
                <c:pt idx="0">
                  <c:v>0.88235294117647056</c:v>
                </c:pt>
                <c:pt idx="1">
                  <c:v>0.75</c:v>
                </c:pt>
                <c:pt idx="2">
                  <c:v>0.83333333333333337</c:v>
                </c:pt>
                <c:pt idx="3">
                  <c:v>0.94117647058823528</c:v>
                </c:pt>
                <c:pt idx="4">
                  <c:v>0.7142857142857143</c:v>
                </c:pt>
                <c:pt idx="5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E5-40D3-9DB5-55238CD69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17887"/>
        <c:axId val="27615487"/>
      </c:radarChart>
      <c:catAx>
        <c:axId val="276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15487"/>
        <c:crosses val="autoZero"/>
        <c:auto val="1"/>
        <c:lblAlgn val="ctr"/>
        <c:lblOffset val="100"/>
        <c:noMultiLvlLbl val="0"/>
      </c:catAx>
      <c:valAx>
        <c:axId val="27615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76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 b="1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1143000</xdr:colOff>
      <xdr:row>16</xdr:row>
      <xdr:rowOff>76200</xdr:rowOff>
    </xdr:from>
    <xdr:to>
      <xdr:col>9</xdr:col>
      <xdr:colOff>419100</xdr:colOff>
      <xdr:row>23</xdr:row>
      <xdr:rowOff>80010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801628-A411-61D8-DE87-F6D1702E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10</xdr:row>
      <xdr:rowOff>80010</xdr:rowOff>
    </xdr:from>
    <xdr:to>
      <xdr:col>7</xdr:col>
      <xdr:colOff>30480</xdr:colOff>
      <xdr:row>25</xdr:row>
      <xdr:rowOff>72390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71DA0-611B-F399-2D54-5C3F54FC6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0.17691</cdr:x>
      <cdr:y>0.35724</cdr:y>
    </cdr:from>
    <cdr:to>
      <cdr:x>0.81127</cdr:x>
      <cdr:y>0.36002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1006E94-D0CD-C3C5-1C24-4116445F4227}"/>
            </a:ext>
          </a:extLst>
        </cdr:cNvPr>
        <cdr:cNvCxnSpPr/>
      </cdr:nvCxnSpPr>
      <cdr:spPr>
        <a:xfrm xmlns:a="http://schemas.openxmlformats.org/drawingml/2006/main" flipH="1">
          <a:off x="306007" y="461407"/>
          <a:ext cx="1097280" cy="358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  <a:prstDash val="sysDash"/>
        </a:ln>
        <a:effectLst xmlns:a="http://schemas.openxmlformats.org/drawingml/2006/main"/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18</xdr:row>
      <xdr:rowOff>64770</xdr:rowOff>
    </xdr:from>
    <xdr:to>
      <xdr:col>6</xdr:col>
      <xdr:colOff>556260</xdr:colOff>
      <xdr:row>33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A1C07-68A3-B2CD-5413-614F54F0C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5CA8F-C18C-42A1-863B-DA32154A2124}" name="Table1" displayName="Table1" ref="A5:M8" totalsRowShown="0" headerRowDxfId="4">
  <autoFilter ref="A5:M8" xr:uid="{37E5CA8F-C18C-42A1-863B-DA32154A21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D92C933-E25A-4339-A8E5-60142A29B6FB}" name="Model"/>
    <tableColumn id="2" xr3:uid="{4B6C47F9-98E7-468E-BCF4-93F4F06D8C69}" name="Delivery_Time_Days"/>
    <tableColumn id="3" xr3:uid="{5278487C-9370-4A27-BA23-06399409FB71}" name="Fuel_Cost_£ per month"/>
    <tableColumn id="4" xr3:uid="{3D7F02C9-B4A9-4DE6-8D71-663463826B3E}" name="Emissions_tCO2 per month (tonnes)"/>
    <tableColumn id="5" xr3:uid="{C3B2AEA9-B4C5-4775-B4D6-CC4CE5D4DF3B}" name="Delivery_Delay_%" dataDxfId="3" dataCellStyle="Percent"/>
    <tableColumn id="6" xr3:uid="{293ECADA-7BD4-4CAE-A75E-4CF76DA5FEC9}" name="Operational_Cost_£ per month"/>
    <tableColumn id="7" xr3:uid="{766F776A-877A-44EF-BF89-F1BA85FC5553}" name="Customer_Satisfaction_%" dataDxfId="2" dataCellStyle="Percent"/>
    <tableColumn id="8" xr3:uid="{50C33AF1-70E6-41BD-98BF-6DA7B67E0B66}" name="Sustainability_Score_%" dataDxfId="1" dataCellStyle="Percent"/>
    <tableColumn id="9" xr3:uid="{AEABF1D5-5E39-4187-820E-9A85906F027B}" name="Monthly_Delivery_Volume (units)"/>
    <tableColumn id="10" xr3:uid="{78DC3654-688F-46BC-B0B9-7CC7AA5DE5DD}" name="Warehouse_Capacity (units)"/>
    <tableColumn id="11" xr3:uid="{9ED22F77-5014-4E6B-B1E0-2E842BD11FBD}" name="Avg_Order_Size (units)"/>
    <tableColumn id="12" xr3:uid="{29FDB7CD-03C0-4D78-B8A9-0527BD609C53}" name="Processing_Time_Hours per order"/>
    <tableColumn id="13" xr3:uid="{5315EAE7-5513-4A49-8E4E-B8369C5F350D}" name="Total Cost" dataDxfId="0">
      <calculatedColumnFormula>Table1[[#This Row],[Fuel_Cost_£ per month]]+Table1[[#This Row],[Operational_Cost_£ per month]]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5EED-FFE4-472A-BA50-37B616EA979E}">
  <dimension ref="A1:M24"/>
  <sheetViews>
    <sheetView workbookViewId="0">
      <selection sqref="A1:E3"/>
    </sheetView>
  </sheetViews>
  <sheetFormatPr defaultColWidth="19.77734375" defaultRowHeight="14.4" x14ac:dyDescent="0.3"/>
  <cols>
    <col min="1" max="1" width="17.88671875" bestFit="1" customWidth="1"/>
    <col min="2" max="2" width="13" customWidth="1"/>
    <col min="3" max="3" width="16.33203125" customWidth="1"/>
    <col min="4" max="4" width="15.77734375" customWidth="1"/>
    <col min="5" max="5" width="15.109375" customWidth="1"/>
    <col min="6" max="6" width="17.77734375" customWidth="1"/>
    <col min="7" max="7" width="19.6640625" customWidth="1"/>
    <col min="8" max="8" width="12.88671875" customWidth="1"/>
    <col min="9" max="9" width="15.6640625" customWidth="1"/>
    <col min="10" max="10" width="11.5546875" customWidth="1"/>
    <col min="11" max="11" width="14.5546875" customWidth="1"/>
    <col min="12" max="12" width="15.21875" customWidth="1"/>
    <col min="13" max="13" width="12.44140625" bestFit="1" customWidth="1"/>
  </cols>
  <sheetData>
    <row r="1" spans="1:13" x14ac:dyDescent="0.3">
      <c r="A1" s="49" t="s">
        <v>55</v>
      </c>
      <c r="B1" s="49"/>
      <c r="C1" s="49"/>
      <c r="D1" s="49"/>
      <c r="E1" s="49"/>
    </row>
    <row r="2" spans="1:13" x14ac:dyDescent="0.3">
      <c r="A2" s="49"/>
      <c r="B2" s="49"/>
      <c r="C2" s="49"/>
      <c r="D2" s="49"/>
      <c r="E2" s="49"/>
    </row>
    <row r="3" spans="1:13" x14ac:dyDescent="0.3">
      <c r="A3" s="49"/>
      <c r="B3" s="49"/>
      <c r="C3" s="49"/>
      <c r="D3" s="49"/>
      <c r="E3" s="49"/>
    </row>
    <row r="5" spans="1:13" s="1" customFormat="1" ht="42.6" customHeight="1" x14ac:dyDescent="0.3">
      <c r="A5" s="1" t="s">
        <v>0</v>
      </c>
      <c r="B5" s="1" t="s">
        <v>1</v>
      </c>
      <c r="C5" s="1" t="s">
        <v>8</v>
      </c>
      <c r="D5" s="1" t="s">
        <v>9</v>
      </c>
      <c r="E5" s="1" t="s">
        <v>2</v>
      </c>
      <c r="F5" s="1" t="s">
        <v>10</v>
      </c>
      <c r="G5" s="1" t="s">
        <v>3</v>
      </c>
      <c r="H5" s="1" t="s">
        <v>4</v>
      </c>
      <c r="I5" s="1" t="s">
        <v>12</v>
      </c>
      <c r="J5" s="1" t="s">
        <v>13</v>
      </c>
      <c r="K5" s="1" t="s">
        <v>14</v>
      </c>
      <c r="L5" s="1" t="s">
        <v>11</v>
      </c>
      <c r="M5" s="1" t="s">
        <v>18</v>
      </c>
    </row>
    <row r="6" spans="1:13" x14ac:dyDescent="0.3">
      <c r="A6" t="s">
        <v>5</v>
      </c>
      <c r="B6">
        <v>3</v>
      </c>
      <c r="C6">
        <v>50000</v>
      </c>
      <c r="D6">
        <v>200</v>
      </c>
      <c r="E6" s="2">
        <v>10</v>
      </c>
      <c r="F6">
        <v>100000</v>
      </c>
      <c r="G6" s="2">
        <v>75</v>
      </c>
      <c r="H6" s="2">
        <v>60</v>
      </c>
      <c r="I6">
        <v>10000</v>
      </c>
      <c r="J6">
        <v>15000</v>
      </c>
      <c r="K6">
        <v>50</v>
      </c>
      <c r="L6">
        <v>2</v>
      </c>
      <c r="M6" s="45">
        <f>Table1[[#This Row],[Fuel_Cost_£ per month]]+Table1[[#This Row],[Operational_Cost_£ per month]]</f>
        <v>150000</v>
      </c>
    </row>
    <row r="7" spans="1:13" x14ac:dyDescent="0.3">
      <c r="A7" t="s">
        <v>6</v>
      </c>
      <c r="B7">
        <v>1.5</v>
      </c>
      <c r="C7">
        <v>70000</v>
      </c>
      <c r="D7">
        <v>150</v>
      </c>
      <c r="E7" s="2">
        <v>5</v>
      </c>
      <c r="F7">
        <v>120000</v>
      </c>
      <c r="G7" s="2">
        <v>85</v>
      </c>
      <c r="H7" s="2">
        <v>75</v>
      </c>
      <c r="I7">
        <v>12000</v>
      </c>
      <c r="J7">
        <v>15000</v>
      </c>
      <c r="K7">
        <v>40</v>
      </c>
      <c r="L7">
        <v>1.5</v>
      </c>
      <c r="M7" s="45">
        <f>Table1[[#This Row],[Fuel_Cost_£ per month]]+Table1[[#This Row],[Operational_Cost_£ per month]]</f>
        <v>190000</v>
      </c>
    </row>
    <row r="8" spans="1:13" x14ac:dyDescent="0.3">
      <c r="A8" t="s">
        <v>7</v>
      </c>
      <c r="B8">
        <v>2</v>
      </c>
      <c r="C8">
        <v>60000</v>
      </c>
      <c r="D8">
        <v>180</v>
      </c>
      <c r="E8" s="2">
        <v>7</v>
      </c>
      <c r="F8">
        <v>110000</v>
      </c>
      <c r="G8" s="2">
        <v>80</v>
      </c>
      <c r="H8" s="2">
        <v>70</v>
      </c>
      <c r="I8">
        <v>11000</v>
      </c>
      <c r="J8">
        <v>25000</v>
      </c>
      <c r="K8">
        <v>45</v>
      </c>
      <c r="L8">
        <v>1.75</v>
      </c>
      <c r="M8" s="45">
        <f>Table1[[#This Row],[Fuel_Cost_£ per month]]+Table1[[#This Row],[Operational_Cost_£ per month]]</f>
        <v>170000</v>
      </c>
    </row>
    <row r="9" spans="1:13" ht="15" thickBot="1" x14ac:dyDescent="0.35"/>
    <row r="10" spans="1:13" ht="15" thickBot="1" x14ac:dyDescent="0.35">
      <c r="A10" s="50" t="s">
        <v>19</v>
      </c>
      <c r="B10" s="51"/>
      <c r="C10" s="52"/>
    </row>
    <row r="11" spans="1:13" x14ac:dyDescent="0.3">
      <c r="A11" s="8"/>
      <c r="B11" s="7"/>
      <c r="C11" s="9" t="s">
        <v>20</v>
      </c>
    </row>
    <row r="12" spans="1:13" x14ac:dyDescent="0.3">
      <c r="A12" s="8" t="s">
        <v>51</v>
      </c>
      <c r="B12" s="7">
        <f>H6*C20+H7*C21+H8*C22</f>
        <v>70</v>
      </c>
      <c r="C12" s="9" t="s">
        <v>52</v>
      </c>
    </row>
    <row r="13" spans="1:13" x14ac:dyDescent="0.3">
      <c r="A13" s="10" t="s">
        <v>21</v>
      </c>
      <c r="B13" s="3">
        <f>I6*C20+I7*C21+I8*C22</f>
        <v>11000</v>
      </c>
      <c r="C13" s="11" t="s">
        <v>22</v>
      </c>
      <c r="L13" s="45"/>
    </row>
    <row r="14" spans="1:13" x14ac:dyDescent="0.3">
      <c r="A14" s="10" t="s">
        <v>23</v>
      </c>
      <c r="B14" s="3">
        <f>D6*C20+D7*C21+D8*C22</f>
        <v>180</v>
      </c>
      <c r="C14" s="11" t="s">
        <v>24</v>
      </c>
      <c r="L14" s="45"/>
    </row>
    <row r="15" spans="1:13" x14ac:dyDescent="0.3">
      <c r="A15" s="10" t="s">
        <v>25</v>
      </c>
      <c r="B15" s="3">
        <f>C20*G6+C21*G7+C22*G8</f>
        <v>80</v>
      </c>
      <c r="C15" s="11" t="s">
        <v>26</v>
      </c>
      <c r="L15" s="45"/>
    </row>
    <row r="16" spans="1:13" x14ac:dyDescent="0.3">
      <c r="A16" s="10" t="s">
        <v>27</v>
      </c>
      <c r="B16" s="3">
        <f>E6*C20+E7*C21+E8*C22</f>
        <v>7</v>
      </c>
      <c r="C16" s="11" t="s">
        <v>28</v>
      </c>
      <c r="L16" s="45"/>
    </row>
    <row r="17" spans="1:3" x14ac:dyDescent="0.3">
      <c r="A17" s="10" t="s">
        <v>29</v>
      </c>
      <c r="B17" s="3">
        <v>0</v>
      </c>
      <c r="C17" s="11" t="s">
        <v>30</v>
      </c>
    </row>
    <row r="18" spans="1:3" ht="15" thickBot="1" x14ac:dyDescent="0.35">
      <c r="A18" s="12" t="s">
        <v>31</v>
      </c>
      <c r="B18" s="13">
        <f>SUM(C20:C22)</f>
        <v>1</v>
      </c>
      <c r="C18" s="14" t="s">
        <v>32</v>
      </c>
    </row>
    <row r="20" spans="1:3" x14ac:dyDescent="0.3">
      <c r="A20" s="3" t="s">
        <v>5</v>
      </c>
      <c r="B20" s="3" t="s">
        <v>15</v>
      </c>
      <c r="C20" s="3">
        <v>0</v>
      </c>
    </row>
    <row r="21" spans="1:3" x14ac:dyDescent="0.3">
      <c r="A21" s="3" t="s">
        <v>6</v>
      </c>
      <c r="B21" s="3" t="s">
        <v>16</v>
      </c>
      <c r="C21" s="3">
        <v>0</v>
      </c>
    </row>
    <row r="22" spans="1:3" x14ac:dyDescent="0.3">
      <c r="A22" s="3" t="s">
        <v>7</v>
      </c>
      <c r="B22" s="3" t="s">
        <v>17</v>
      </c>
      <c r="C22" s="6">
        <v>1</v>
      </c>
    </row>
    <row r="24" spans="1:3" x14ac:dyDescent="0.3">
      <c r="A24" s="4" t="s">
        <v>33</v>
      </c>
      <c r="B24" s="5" t="s">
        <v>18</v>
      </c>
      <c r="C24" s="44">
        <f>C20*M6+C21*M7+C22*M8</f>
        <v>170000</v>
      </c>
    </row>
  </sheetData>
  <mergeCells count="2">
    <mergeCell ref="A10:C10"/>
    <mergeCell ref="A1:E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8B4F-3E95-4AA0-A8EF-73BC9FF6DAC4}">
  <dimension ref="A1:N17"/>
  <sheetViews>
    <sheetView tabSelected="1" topLeftCell="A6" workbookViewId="0">
      <selection activeCell="K6" sqref="K6"/>
    </sheetView>
  </sheetViews>
  <sheetFormatPr defaultRowHeight="14.4" x14ac:dyDescent="0.3"/>
  <cols>
    <col min="1" max="1" width="12.21875" bestFit="1" customWidth="1"/>
    <col min="2" max="2" width="10" bestFit="1" customWidth="1"/>
    <col min="3" max="3" width="11.44140625" customWidth="1"/>
    <col min="4" max="4" width="15.44140625" customWidth="1"/>
    <col min="5" max="5" width="18.33203125" customWidth="1"/>
    <col min="6" max="6" width="11.33203125" customWidth="1"/>
    <col min="7" max="7" width="20.6640625" bestFit="1" customWidth="1"/>
    <col min="8" max="8" width="13.33203125" bestFit="1" customWidth="1"/>
    <col min="9" max="9" width="19.5546875" bestFit="1" customWidth="1"/>
    <col min="10" max="10" width="19" bestFit="1" customWidth="1"/>
    <col min="11" max="11" width="19.88671875" bestFit="1" customWidth="1"/>
    <col min="12" max="12" width="14.44140625" bestFit="1" customWidth="1"/>
    <col min="13" max="13" width="15.21875" customWidth="1"/>
    <col min="14" max="14" width="10.6640625" bestFit="1" customWidth="1"/>
  </cols>
  <sheetData>
    <row r="1" spans="1:14" x14ac:dyDescent="0.3">
      <c r="A1" s="49" t="s">
        <v>56</v>
      </c>
      <c r="B1" s="49"/>
      <c r="C1" s="49"/>
      <c r="D1" s="49"/>
      <c r="E1" s="49"/>
    </row>
    <row r="2" spans="1:14" x14ac:dyDescent="0.3">
      <c r="A2" s="49"/>
      <c r="B2" s="49"/>
      <c r="C2" s="49"/>
      <c r="D2" s="49"/>
      <c r="E2" s="49"/>
    </row>
    <row r="3" spans="1:14" x14ac:dyDescent="0.3">
      <c r="A3" s="49"/>
      <c r="B3" s="49"/>
      <c r="C3" s="49"/>
      <c r="D3" s="49"/>
      <c r="E3" s="49"/>
    </row>
    <row r="4" spans="1:14" ht="15" thickBot="1" x14ac:dyDescent="0.35"/>
    <row r="5" spans="1:14" ht="15" thickBot="1" x14ac:dyDescent="0.35">
      <c r="A5" s="27" t="s">
        <v>0</v>
      </c>
      <c r="B5" s="31" t="s">
        <v>47</v>
      </c>
      <c r="C5" s="31" t="s">
        <v>46</v>
      </c>
      <c r="D5" s="31" t="s">
        <v>23</v>
      </c>
      <c r="E5" s="31" t="s">
        <v>25</v>
      </c>
      <c r="F5" s="31" t="s">
        <v>27</v>
      </c>
      <c r="G5" s="32" t="s">
        <v>4</v>
      </c>
      <c r="I5" s="27" t="s">
        <v>49</v>
      </c>
      <c r="J5" s="32" t="s">
        <v>48</v>
      </c>
    </row>
    <row r="6" spans="1:14" x14ac:dyDescent="0.3">
      <c r="A6" s="28" t="s">
        <v>5</v>
      </c>
      <c r="B6" s="7">
        <v>150000</v>
      </c>
      <c r="C6" s="7">
        <v>3</v>
      </c>
      <c r="D6" s="7">
        <v>200</v>
      </c>
      <c r="E6" s="7">
        <v>75</v>
      </c>
      <c r="F6" s="7">
        <v>10</v>
      </c>
      <c r="G6" s="33">
        <v>60</v>
      </c>
      <c r="I6" s="8" t="s">
        <v>47</v>
      </c>
      <c r="J6" s="9">
        <v>0.15</v>
      </c>
    </row>
    <row r="7" spans="1:14" x14ac:dyDescent="0.3">
      <c r="A7" s="29" t="s">
        <v>6</v>
      </c>
      <c r="B7" s="3">
        <v>190000</v>
      </c>
      <c r="C7" s="3">
        <v>1.5</v>
      </c>
      <c r="D7" s="3">
        <v>150</v>
      </c>
      <c r="E7" s="3">
        <v>85</v>
      </c>
      <c r="F7" s="3">
        <v>5</v>
      </c>
      <c r="G7" s="34">
        <v>75</v>
      </c>
      <c r="I7" s="10" t="s">
        <v>46</v>
      </c>
      <c r="J7" s="11">
        <v>0.15</v>
      </c>
    </row>
    <row r="8" spans="1:14" ht="15" thickBot="1" x14ac:dyDescent="0.35">
      <c r="A8" s="30" t="s">
        <v>7</v>
      </c>
      <c r="B8" s="13">
        <v>170000</v>
      </c>
      <c r="C8" s="13">
        <v>2</v>
      </c>
      <c r="D8" s="13">
        <v>180</v>
      </c>
      <c r="E8" s="13">
        <v>80</v>
      </c>
      <c r="F8" s="13">
        <v>7</v>
      </c>
      <c r="G8" s="35">
        <v>70</v>
      </c>
      <c r="I8" s="10" t="s">
        <v>23</v>
      </c>
      <c r="J8" s="11">
        <v>0.2</v>
      </c>
    </row>
    <row r="9" spans="1:14" x14ac:dyDescent="0.3">
      <c r="I9" s="10" t="s">
        <v>25</v>
      </c>
      <c r="J9" s="11">
        <v>0.15</v>
      </c>
    </row>
    <row r="10" spans="1:14" x14ac:dyDescent="0.3">
      <c r="I10" s="10" t="s">
        <v>27</v>
      </c>
      <c r="J10" s="11">
        <v>0.15</v>
      </c>
    </row>
    <row r="11" spans="1:14" ht="15" thickBot="1" x14ac:dyDescent="0.35">
      <c r="I11" s="12" t="s">
        <v>4</v>
      </c>
      <c r="J11" s="14">
        <v>0.2</v>
      </c>
    </row>
    <row r="12" spans="1:14" ht="15" thickBot="1" x14ac:dyDescent="0.35"/>
    <row r="13" spans="1:14" ht="15" thickBot="1" x14ac:dyDescent="0.35">
      <c r="A13" s="20"/>
      <c r="B13" s="46" t="s">
        <v>45</v>
      </c>
      <c r="C13" s="47"/>
      <c r="D13" s="47"/>
      <c r="E13" s="47"/>
      <c r="F13" s="47"/>
      <c r="G13" s="48"/>
      <c r="H13" s="47" t="s">
        <v>50</v>
      </c>
      <c r="I13" s="47"/>
      <c r="J13" s="47"/>
      <c r="K13" s="47"/>
      <c r="L13" s="47"/>
      <c r="M13" s="47"/>
      <c r="N13" s="48"/>
    </row>
    <row r="14" spans="1:14" s="1" customFormat="1" ht="57.6" x14ac:dyDescent="0.3">
      <c r="A14" s="38" t="s">
        <v>0</v>
      </c>
      <c r="B14" s="39" t="s">
        <v>44</v>
      </c>
      <c r="C14" s="40" t="s">
        <v>43</v>
      </c>
      <c r="D14" s="40" t="s">
        <v>42</v>
      </c>
      <c r="E14" s="40" t="s">
        <v>41</v>
      </c>
      <c r="F14" s="41" t="s">
        <v>40</v>
      </c>
      <c r="G14" s="42" t="s">
        <v>53</v>
      </c>
      <c r="H14" s="43" t="s">
        <v>39</v>
      </c>
      <c r="I14" s="40" t="s">
        <v>38</v>
      </c>
      <c r="J14" s="40" t="s">
        <v>37</v>
      </c>
      <c r="K14" s="40" t="s">
        <v>36</v>
      </c>
      <c r="L14" s="40" t="s">
        <v>35</v>
      </c>
      <c r="M14" s="41" t="s">
        <v>54</v>
      </c>
      <c r="N14" s="42" t="s">
        <v>34</v>
      </c>
    </row>
    <row r="15" spans="1:14" x14ac:dyDescent="0.3">
      <c r="A15" s="25" t="s">
        <v>5</v>
      </c>
      <c r="B15" s="23">
        <f>MIN($B$6:$B$8)/B6</f>
        <v>1</v>
      </c>
      <c r="C15" s="15">
        <f>MIN($C$6:$C$8)/C6</f>
        <v>0.5</v>
      </c>
      <c r="D15" s="15">
        <f>MIN($D$6:$D$8)/D6</f>
        <v>0.75</v>
      </c>
      <c r="E15" s="15">
        <f>E6/MAX($E$6:$E$8)</f>
        <v>0.88235294117647056</v>
      </c>
      <c r="F15" s="36">
        <f>MIN($F$6:$F$8)/F6</f>
        <v>0.5</v>
      </c>
      <c r="G15" s="16">
        <f>G6/MAX($G$6:$G$8)</f>
        <v>0.8</v>
      </c>
      <c r="H15" s="21">
        <f>B15*$J$6</f>
        <v>0.15</v>
      </c>
      <c r="I15" s="15">
        <f>C15*$J$7</f>
        <v>7.4999999999999997E-2</v>
      </c>
      <c r="J15" s="15">
        <f>D15*$J$8</f>
        <v>0.15000000000000002</v>
      </c>
      <c r="K15" s="15">
        <f>E15*$J$9</f>
        <v>0.13235294117647059</v>
      </c>
      <c r="L15" s="15">
        <f>F15*$J$10</f>
        <v>7.4999999999999997E-2</v>
      </c>
      <c r="M15" s="36">
        <f>G15*$J$11</f>
        <v>0.16000000000000003</v>
      </c>
      <c r="N15" s="16">
        <f>SUM(H15:M15)</f>
        <v>0.74235294117647055</v>
      </c>
    </row>
    <row r="16" spans="1:14" x14ac:dyDescent="0.3">
      <c r="A16" s="25" t="s">
        <v>6</v>
      </c>
      <c r="B16" s="23">
        <f>MIN($B$6:$B$8)/B7</f>
        <v>0.78947368421052633</v>
      </c>
      <c r="C16" s="15">
        <f>MIN($C$6:$C$8)/C7</f>
        <v>1</v>
      </c>
      <c r="D16" s="15">
        <f>MIN($D$6:$D$8)/D7</f>
        <v>1</v>
      </c>
      <c r="E16" s="15">
        <f>E7/MAX($E$6:$E$8)</f>
        <v>1</v>
      </c>
      <c r="F16" s="36">
        <f>MIN($F$6:$F$8)/F7</f>
        <v>1</v>
      </c>
      <c r="G16" s="16">
        <f t="shared" ref="G16:G17" si="0">G7/MAX($G$6:$G$8)</f>
        <v>1</v>
      </c>
      <c r="H16" s="21">
        <f>B16*$J$6</f>
        <v>0.11842105263157894</v>
      </c>
      <c r="I16" s="15">
        <f>C16*$J$7</f>
        <v>0.15</v>
      </c>
      <c r="J16" s="15">
        <f>D16*$J$8</f>
        <v>0.2</v>
      </c>
      <c r="K16" s="15">
        <f>E16*$J$9</f>
        <v>0.15</v>
      </c>
      <c r="L16" s="15">
        <f>F16*$J$10</f>
        <v>0.15</v>
      </c>
      <c r="M16" s="36">
        <f t="shared" ref="M16:M17" si="1">G16*$J$11</f>
        <v>0.2</v>
      </c>
      <c r="N16" s="17">
        <f t="shared" ref="N16:N17" si="2">SUM(H16:M16)</f>
        <v>0.96842105263157907</v>
      </c>
    </row>
    <row r="17" spans="1:14" ht="15" thickBot="1" x14ac:dyDescent="0.35">
      <c r="A17" s="26" t="s">
        <v>7</v>
      </c>
      <c r="B17" s="24">
        <f>MIN($B$6:$B$8)/B8</f>
        <v>0.88235294117647056</v>
      </c>
      <c r="C17" s="18">
        <f>MIN($C$6:$C$8)/C8</f>
        <v>0.75</v>
      </c>
      <c r="D17" s="18">
        <f>MIN($D$6:$D$8)/D8</f>
        <v>0.83333333333333337</v>
      </c>
      <c r="E17" s="18">
        <f>E8/MAX($E$6:$E$8)</f>
        <v>0.94117647058823528</v>
      </c>
      <c r="F17" s="37">
        <f>MIN($F$6:$F$8)/F8</f>
        <v>0.7142857142857143</v>
      </c>
      <c r="G17" s="19">
        <f t="shared" si="0"/>
        <v>0.93333333333333335</v>
      </c>
      <c r="H17" s="22">
        <f>B17*$J$6</f>
        <v>0.13235294117647059</v>
      </c>
      <c r="I17" s="18">
        <f>C17*$J$7</f>
        <v>0.11249999999999999</v>
      </c>
      <c r="J17" s="18">
        <f>D17*$J$8</f>
        <v>0.16666666666666669</v>
      </c>
      <c r="K17" s="18">
        <f>E17*$J$9</f>
        <v>0.14117647058823529</v>
      </c>
      <c r="L17" s="18">
        <f>F17*$J$10</f>
        <v>0.10714285714285714</v>
      </c>
      <c r="M17" s="37">
        <f t="shared" si="1"/>
        <v>0.18666666666666668</v>
      </c>
      <c r="N17" s="19">
        <f t="shared" si="2"/>
        <v>0.84650560224089633</v>
      </c>
    </row>
  </sheetData>
  <mergeCells count="3">
    <mergeCell ref="B13:G13"/>
    <mergeCell ref="H13:N13"/>
    <mergeCell ref="A1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 Programming</vt:lpstr>
      <vt:lpstr>Decision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 Petiwala [Student-BUS]</dc:creator>
  <cp:lastModifiedBy>Sakina Petiwala</cp:lastModifiedBy>
  <dcterms:created xsi:type="dcterms:W3CDTF">2026-05-01T15:58:23Z</dcterms:created>
  <dcterms:modified xsi:type="dcterms:W3CDTF">2026-10-10T17:07:45Z</dcterms:modified>
</cp:coreProperties>
</file>